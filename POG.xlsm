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irag\Desktop\PurchaseOrderGenerator\"/>
    </mc:Choice>
  </mc:AlternateContent>
  <bookViews>
    <workbookView xWindow="0" yWindow="0" windowWidth="20490" windowHeight="8910"/>
  </bookViews>
  <sheets>
    <sheet name="Purchase Order" sheetId="1" r:id="rId1"/>
    <sheet name="Product List" sheetId="2" r:id="rId2"/>
  </sheets>
  <definedNames>
    <definedName name="_xlnm._FilterDatabase" localSheetId="1" hidden="1">'Product List'!$A$5:$F$25</definedName>
    <definedName name="LineItemTotal">'Purchase Order'!$A$1</definedName>
    <definedName name="POdate">'Purchase Order'!$N$5</definedName>
    <definedName name="POnumber">'Purchase Order'!$N$4</definedName>
    <definedName name="ProductListing">'Product List'!$A$6:$F$25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5" i="1" l="1"/>
  <c r="N14" i="1"/>
  <c r="N13" i="1"/>
  <c r="N12" i="1"/>
  <c r="N11" i="1"/>
  <c r="N16" i="1" l="1"/>
  <c r="N17" i="1" s="1"/>
  <c r="N18" i="1" s="1"/>
  <c r="A1" i="1"/>
  <c r="E25" i="2" l="1"/>
  <c r="F25" i="2" s="1"/>
  <c r="E24" i="2"/>
  <c r="F24" i="2" s="1"/>
  <c r="E23" i="2"/>
  <c r="F23" i="2" s="1"/>
  <c r="E22" i="2"/>
  <c r="F22" i="2" s="1"/>
  <c r="E21" i="2"/>
  <c r="F21" i="2" s="1"/>
  <c r="E20" i="2"/>
  <c r="F20" i="2" s="1"/>
  <c r="E19" i="2"/>
  <c r="F19" i="2" s="1"/>
  <c r="E18" i="2"/>
  <c r="F18" i="2" s="1"/>
  <c r="E17" i="2"/>
  <c r="F17" i="2" s="1"/>
  <c r="E16" i="2"/>
  <c r="F16" i="2" s="1"/>
  <c r="E15" i="2"/>
  <c r="F15" i="2" s="1"/>
  <c r="E14" i="2"/>
  <c r="F14" i="2" s="1"/>
  <c r="E13" i="2"/>
  <c r="F13" i="2" s="1"/>
  <c r="E12" i="2"/>
  <c r="F12" i="2" s="1"/>
  <c r="E11" i="2"/>
  <c r="F11" i="2" s="1"/>
  <c r="E10" i="2"/>
  <c r="F10" i="2" s="1"/>
  <c r="E9" i="2"/>
  <c r="F9" i="2" s="1"/>
  <c r="E8" i="2"/>
  <c r="F8" i="2" s="1"/>
  <c r="E7" i="2"/>
  <c r="F7" i="2" s="1"/>
  <c r="E6" i="2"/>
  <c r="F6" i="2" s="1"/>
</calcChain>
</file>

<file path=xl/sharedStrings.xml><?xml version="1.0" encoding="utf-8"?>
<sst xmlns="http://schemas.openxmlformats.org/spreadsheetml/2006/main" count="88" uniqueCount="71">
  <si>
    <t>Learning VBA Tools</t>
  </si>
  <si>
    <t>PURCHASE ORDER</t>
  </si>
  <si>
    <t>176,Indrasabha
society</t>
  </si>
  <si>
    <t>Date:</t>
  </si>
  <si>
    <t xml:space="preserve">PO Number:
</t>
  </si>
  <si>
    <t>SHIPPING METHOD</t>
  </si>
  <si>
    <t>SHIPPING TERMS</t>
  </si>
  <si>
    <t>DELIVERY INSTRUCTIONS</t>
  </si>
  <si>
    <t>FOB India</t>
  </si>
  <si>
    <t>To be Delivered ASAP</t>
  </si>
  <si>
    <t xml:space="preserve">Ship to
Address:
</t>
  </si>
  <si>
    <t>Quantity</t>
  </si>
  <si>
    <t>PROD.ID</t>
  </si>
  <si>
    <t>PRODUCT DESCRIPTION</t>
  </si>
  <si>
    <t>UNIT PRICE</t>
  </si>
  <si>
    <t>LINE TOTAL(USD)</t>
  </si>
  <si>
    <t>SALES TAX</t>
  </si>
  <si>
    <t>TOTAL</t>
  </si>
  <si>
    <t>AIRLINE</t>
  </si>
  <si>
    <t>Wholesale %</t>
  </si>
  <si>
    <t>COGS % of W/S</t>
  </si>
  <si>
    <t>Product Name</t>
  </si>
  <si>
    <t>Product ID</t>
  </si>
  <si>
    <t>Category</t>
  </si>
  <si>
    <t>Retail Price</t>
  </si>
  <si>
    <t>Wholesale Price</t>
  </si>
  <si>
    <t>COGS</t>
  </si>
  <si>
    <t>Can Opener</t>
  </si>
  <si>
    <t>HH-001</t>
  </si>
  <si>
    <t>Household</t>
  </si>
  <si>
    <t>Scissors (3-pack)</t>
  </si>
  <si>
    <t>HH-002</t>
  </si>
  <si>
    <t>Ice Cube Tray</t>
  </si>
  <si>
    <t>HH-003</t>
  </si>
  <si>
    <t>Trash Can</t>
  </si>
  <si>
    <t>HH-004</t>
  </si>
  <si>
    <t>Vacuum</t>
  </si>
  <si>
    <t>HH-005</t>
  </si>
  <si>
    <t>Mini-Fridge</t>
  </si>
  <si>
    <t>HH-006</t>
  </si>
  <si>
    <t>Space Heater</t>
  </si>
  <si>
    <t>HH-007</t>
  </si>
  <si>
    <t>Air Conditioner</t>
  </si>
  <si>
    <t>HH-008</t>
  </si>
  <si>
    <t>Dining Room Table</t>
  </si>
  <si>
    <t>HH-009</t>
  </si>
  <si>
    <t>Dresser / Bureau</t>
  </si>
  <si>
    <t>HH-010</t>
  </si>
  <si>
    <t>Windshield Wiper</t>
  </si>
  <si>
    <t>AU-001</t>
  </si>
  <si>
    <t>Automotive</t>
  </si>
  <si>
    <t>Replacement Headlight</t>
  </si>
  <si>
    <t>AU-002</t>
  </si>
  <si>
    <t>Gas Cap</t>
  </si>
  <si>
    <t>AU-003</t>
  </si>
  <si>
    <t>Leather Seat Cover</t>
  </si>
  <si>
    <t>AU-004</t>
  </si>
  <si>
    <t>Tires (Set of 4)</t>
  </si>
  <si>
    <t>AU-005</t>
  </si>
  <si>
    <t>Wiffle Ball Set</t>
  </si>
  <si>
    <t>OA-001</t>
  </si>
  <si>
    <t>Outdoor Activities</t>
  </si>
  <si>
    <t>Frisbee</t>
  </si>
  <si>
    <t>OA-002</t>
  </si>
  <si>
    <t>Horseshoe Set</t>
  </si>
  <si>
    <t>OA-003</t>
  </si>
  <si>
    <t>Patio Table</t>
  </si>
  <si>
    <t>OA-004</t>
  </si>
  <si>
    <t>Tent</t>
  </si>
  <si>
    <t>OA-005</t>
  </si>
  <si>
    <t>SUBTOTAL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</si>
</sst>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-0.249977111117893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5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5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center" vertical="center"/>
    </xf>
    <xf numFmtId="0" fontId="0" fillId="0" borderId="7" xfId="0" applyBorder="1"/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3" xfId="0" applyBorder="1" applyAlignment="1">
      <alignment horizontal="center" vertical="center"/>
    </xf>
    <xf numFmtId="0" fontId="0" fillId="0" borderId="26" xfId="0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4" fillId="0" borderId="3" xfId="0" applyFont="1" applyBorder="1" applyAlignment="1">
      <alignment vertical="top"/>
    </xf>
    <xf numFmtId="0" fontId="4" fillId="0" borderId="2" xfId="0" applyFont="1" applyBorder="1" applyAlignment="1">
      <alignment vertical="top"/>
    </xf>
    <xf numFmtId="0" fontId="0" fillId="0" borderId="5" xfId="0" applyBorder="1" applyAlignment="1">
      <alignment horizontal="left"/>
    </xf>
    <xf numFmtId="0" fontId="0" fillId="0" borderId="0" xfId="0" applyBorder="1" applyAlignment="1">
      <alignment horizontal="right" vertical="center"/>
    </xf>
    <xf numFmtId="0" fontId="0" fillId="0" borderId="0" xfId="0" applyBorder="1" applyAlignment="1">
      <alignment horizontal="left"/>
    </xf>
    <xf numFmtId="0" fontId="2" fillId="0" borderId="32" xfId="0" applyFont="1" applyBorder="1" applyAlignment="1">
      <alignment vertical="top" wrapText="1"/>
    </xf>
    <xf numFmtId="9" fontId="2" fillId="0" borderId="33" xfId="0" applyNumberFormat="1" applyFont="1" applyBorder="1"/>
    <xf numFmtId="0" fontId="0" fillId="0" borderId="0" xfId="0" applyAlignment="1">
      <alignment vertical="top"/>
    </xf>
    <xf numFmtId="0" fontId="2" fillId="0" borderId="34" xfId="0" applyFont="1" applyBorder="1" applyAlignment="1">
      <alignment vertical="top" wrapText="1"/>
    </xf>
    <xf numFmtId="9" fontId="2" fillId="0" borderId="24" xfId="0" applyNumberFormat="1" applyFont="1" applyBorder="1"/>
    <xf numFmtId="0" fontId="2" fillId="0" borderId="1" xfId="0" applyFont="1" applyBorder="1"/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0" fontId="0" fillId="0" borderId="35" xfId="0" applyBorder="1"/>
    <xf numFmtId="0" fontId="0" fillId="2" borderId="27" xfId="0" applyFill="1" applyBorder="1"/>
    <xf numFmtId="44" fontId="0" fillId="0" borderId="27" xfId="1" applyFont="1" applyBorder="1"/>
    <xf numFmtId="44" fontId="0" fillId="0" borderId="28" xfId="1" applyFont="1" applyBorder="1"/>
    <xf numFmtId="0" fontId="0" fillId="0" borderId="25" xfId="0" applyBorder="1"/>
    <xf numFmtId="0" fontId="0" fillId="2" borderId="13" xfId="0" applyFill="1" applyBorder="1"/>
    <xf numFmtId="44" fontId="0" fillId="0" borderId="13" xfId="1" applyFont="1" applyBorder="1"/>
    <xf numFmtId="44" fontId="0" fillId="0" borderId="22" xfId="1" applyFont="1" applyBorder="1"/>
    <xf numFmtId="0" fontId="3" fillId="3" borderId="13" xfId="0" applyFont="1" applyFill="1" applyBorder="1"/>
    <xf numFmtId="0" fontId="0" fillId="4" borderId="13" xfId="0" applyFill="1" applyBorder="1"/>
    <xf numFmtId="0" fontId="0" fillId="0" borderId="36" xfId="0" applyBorder="1"/>
    <xf numFmtId="0" fontId="0" fillId="0" borderId="34" xfId="0" applyBorder="1"/>
    <xf numFmtId="0" fontId="0" fillId="4" borderId="23" xfId="0" applyFill="1" applyBorder="1"/>
    <xf numFmtId="44" fontId="0" fillId="0" borderId="23" xfId="1" applyFont="1" applyBorder="1"/>
    <xf numFmtId="44" fontId="0" fillId="0" borderId="24" xfId="1" applyFont="1" applyBorder="1"/>
    <xf numFmtId="14" fontId="0" fillId="0" borderId="6" xfId="0" applyNumberFormat="1" applyBorder="1"/>
    <xf numFmtId="7" fontId="0" fillId="0" borderId="27" xfId="0" applyNumberFormat="1" applyBorder="1"/>
    <xf numFmtId="7" fontId="0" fillId="0" borderId="13" xfId="0" applyNumberFormat="1" applyBorder="1"/>
    <xf numFmtId="164" fontId="0" fillId="0" borderId="28" xfId="0" applyNumberForma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200025</xdr:colOff>
          <xdr:row>1</xdr:row>
          <xdr:rowOff>85725</xdr:rowOff>
        </xdr:from>
        <xdr:to>
          <xdr:col>17</xdr:col>
          <xdr:colOff>133350</xdr:colOff>
          <xdr:row>2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 Order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Purchase Order Input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8"/>
  <sheetViews>
    <sheetView showGridLines="0" tabSelected="1" workbookViewId="0">
      <selection activeCell="Q12" sqref="Q12"/>
    </sheetView>
  </sheetViews>
  <sheetFormatPr defaultRowHeight="15" x14ac:dyDescent="0.25"/>
  <cols>
    <col min="1" max="1" width="4.85546875" customWidth="1"/>
    <col min="5" max="5" width="4.7109375" customWidth="1"/>
    <col min="7" max="7" width="3.7109375" customWidth="1"/>
    <col min="8" max="8" width="3.85546875" customWidth="1"/>
    <col min="9" max="9" width="3.5703125" customWidth="1"/>
    <col min="11" max="11" width="4.28515625" customWidth="1"/>
    <col min="12" max="12" width="8.42578125" customWidth="1"/>
    <col min="13" max="13" width="13.85546875" customWidth="1"/>
    <col min="14" max="14" width="15.7109375" customWidth="1"/>
  </cols>
  <sheetData>
    <row r="1" spans="1:14" ht="15.75" thickBot="1" x14ac:dyDescent="0.3">
      <c r="A1">
        <f>COUNTA(C11:C15)+1</f>
        <v>1</v>
      </c>
    </row>
    <row r="2" spans="1:14" ht="23.25" customHeight="1" x14ac:dyDescent="0.25">
      <c r="B2" s="33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32" t="s">
        <v>1</v>
      </c>
      <c r="N2" s="3"/>
    </row>
    <row r="3" spans="1:14" ht="15.75" thickBot="1" x14ac:dyDescent="0.3">
      <c r="B3" s="10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3"/>
    </row>
    <row r="4" spans="1:14" ht="60" x14ac:dyDescent="0.25">
      <c r="B4" s="7" t="s">
        <v>10</v>
      </c>
      <c r="C4" s="5"/>
      <c r="D4" s="8" t="s">
        <v>2</v>
      </c>
      <c r="E4" s="5"/>
      <c r="F4" s="5"/>
      <c r="G4" s="5"/>
      <c r="H4" s="5"/>
      <c r="I4" s="5"/>
      <c r="J4" s="5"/>
      <c r="K4" s="5"/>
      <c r="L4" s="5"/>
      <c r="M4" s="8" t="s">
        <v>4</v>
      </c>
      <c r="N4" s="6">
        <v>1234</v>
      </c>
    </row>
    <row r="5" spans="1:14" x14ac:dyDescent="0.25">
      <c r="B5" s="4"/>
      <c r="C5" s="5"/>
      <c r="D5" s="5"/>
      <c r="E5" s="5"/>
      <c r="F5" s="5"/>
      <c r="G5" s="5"/>
      <c r="H5" s="5"/>
      <c r="I5" s="5"/>
      <c r="J5" s="5"/>
      <c r="K5" s="5"/>
      <c r="L5" s="5"/>
      <c r="M5" s="5" t="s">
        <v>3</v>
      </c>
      <c r="N5" s="61">
        <v>43977</v>
      </c>
    </row>
    <row r="6" spans="1:14" ht="15.75" thickBot="1" x14ac:dyDescent="0.3">
      <c r="B6" s="10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  <c r="N6" s="13"/>
    </row>
    <row r="7" spans="1:14" x14ac:dyDescent="0.25">
      <c r="B7" s="34"/>
      <c r="C7" s="9" t="s">
        <v>5</v>
      </c>
      <c r="D7" s="15"/>
      <c r="E7" s="5"/>
      <c r="F7" s="5"/>
      <c r="G7" s="5" t="s">
        <v>6</v>
      </c>
      <c r="H7" s="35"/>
      <c r="I7" s="5"/>
      <c r="J7" s="15"/>
      <c r="K7" s="5"/>
      <c r="L7" s="36" t="s">
        <v>7</v>
      </c>
      <c r="M7" s="5"/>
      <c r="N7" s="6"/>
    </row>
    <row r="8" spans="1:14" ht="15.75" thickBot="1" x14ac:dyDescent="0.3">
      <c r="B8" s="10"/>
      <c r="C8" s="11" t="s">
        <v>18</v>
      </c>
      <c r="D8" s="16"/>
      <c r="E8" s="11"/>
      <c r="F8" s="12"/>
      <c r="G8" s="11" t="s">
        <v>8</v>
      </c>
      <c r="H8" s="11"/>
      <c r="I8" s="11"/>
      <c r="J8" s="16"/>
      <c r="K8" s="11"/>
      <c r="L8" s="11" t="s">
        <v>9</v>
      </c>
      <c r="M8" s="11"/>
      <c r="N8" s="13"/>
    </row>
    <row r="9" spans="1:14" ht="15.75" thickBot="1" x14ac:dyDescent="0.3">
      <c r="B9" s="1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3"/>
    </row>
    <row r="10" spans="1:14" ht="15.75" thickBot="1" x14ac:dyDescent="0.3">
      <c r="B10" s="29" t="s">
        <v>11</v>
      </c>
      <c r="C10" s="30" t="s">
        <v>12</v>
      </c>
      <c r="D10" s="18" t="s">
        <v>13</v>
      </c>
      <c r="E10" s="14"/>
      <c r="F10" s="14"/>
      <c r="G10" s="14"/>
      <c r="H10" s="14"/>
      <c r="I10" s="14"/>
      <c r="J10" s="14"/>
      <c r="K10" s="14"/>
      <c r="L10" s="14"/>
      <c r="M10" s="30" t="s">
        <v>14</v>
      </c>
      <c r="N10" s="31" t="s">
        <v>15</v>
      </c>
    </row>
    <row r="11" spans="1:14" x14ac:dyDescent="0.25">
      <c r="B11" s="27"/>
      <c r="C11" s="28"/>
      <c r="D11" s="19"/>
      <c r="E11" s="20"/>
      <c r="F11" s="20"/>
      <c r="G11" s="20"/>
      <c r="H11" s="20"/>
      <c r="I11" s="20"/>
      <c r="J11" s="20"/>
      <c r="K11" s="20"/>
      <c r="L11" s="21"/>
      <c r="M11" s="62"/>
      <c r="N11" s="64">
        <f>IFERROR(B11*M11,0)</f>
        <v>0</v>
      </c>
    </row>
    <row r="12" spans="1:14" x14ac:dyDescent="0.25">
      <c r="B12" s="25"/>
      <c r="C12" s="17"/>
      <c r="D12" s="22"/>
      <c r="E12" s="23"/>
      <c r="F12" s="23"/>
      <c r="G12" s="23"/>
      <c r="H12" s="23"/>
      <c r="I12" s="23"/>
      <c r="J12" s="23"/>
      <c r="K12" s="23"/>
      <c r="L12" s="24"/>
      <c r="M12" s="63"/>
      <c r="N12" s="64">
        <f>IFERROR(B12*M12,0)</f>
        <v>0</v>
      </c>
    </row>
    <row r="13" spans="1:14" x14ac:dyDescent="0.25">
      <c r="B13" s="25"/>
      <c r="C13" s="17"/>
      <c r="D13" s="22"/>
      <c r="E13" s="23"/>
      <c r="F13" s="23"/>
      <c r="G13" s="23"/>
      <c r="H13" s="23"/>
      <c r="I13" s="23"/>
      <c r="J13" s="23"/>
      <c r="K13" s="23"/>
      <c r="L13" s="24"/>
      <c r="M13" s="63"/>
      <c r="N13" s="64">
        <f>IFERROR(B13*M13,0)</f>
        <v>0</v>
      </c>
    </row>
    <row r="14" spans="1:14" x14ac:dyDescent="0.25">
      <c r="B14" s="25"/>
      <c r="C14" s="17"/>
      <c r="D14" s="22"/>
      <c r="E14" s="23"/>
      <c r="F14" s="23"/>
      <c r="G14" s="23"/>
      <c r="H14" s="23"/>
      <c r="I14" s="23"/>
      <c r="J14" s="23"/>
      <c r="K14" s="23"/>
      <c r="L14" s="24"/>
      <c r="M14" s="63"/>
      <c r="N14" s="64">
        <f>IFERROR(B14*M14,0)</f>
        <v>0</v>
      </c>
    </row>
    <row r="15" spans="1:14" x14ac:dyDescent="0.25">
      <c r="B15" s="25"/>
      <c r="C15" s="17"/>
      <c r="D15" s="22"/>
      <c r="E15" s="23"/>
      <c r="F15" s="23"/>
      <c r="G15" s="23"/>
      <c r="H15" s="23"/>
      <c r="I15" s="23"/>
      <c r="J15" s="23"/>
      <c r="K15" s="23"/>
      <c r="L15" s="24"/>
      <c r="M15" s="63"/>
      <c r="N15" s="64">
        <f>IFERROR(B15*M15,0)</f>
        <v>0</v>
      </c>
    </row>
    <row r="16" spans="1:14" x14ac:dyDescent="0.25">
      <c r="B16" s="4"/>
      <c r="C16" s="5"/>
      <c r="D16" s="5"/>
      <c r="E16" s="5"/>
      <c r="F16" s="5"/>
      <c r="G16" s="5"/>
      <c r="H16" s="5"/>
      <c r="I16" s="5"/>
      <c r="J16" s="5"/>
      <c r="K16" s="5"/>
      <c r="L16" s="5"/>
      <c r="M16" s="63" t="s">
        <v>70</v>
      </c>
      <c r="N16" s="64">
        <f>SUM(N11:N15)</f>
        <v>0</v>
      </c>
    </row>
    <row r="17" spans="2:14" x14ac:dyDescent="0.25">
      <c r="B17" s="4"/>
      <c r="C17" s="5"/>
      <c r="D17" s="5"/>
      <c r="E17" s="5"/>
      <c r="F17" s="5"/>
      <c r="G17" s="5"/>
      <c r="H17" s="5"/>
      <c r="I17" s="5"/>
      <c r="J17" s="5"/>
      <c r="K17" s="5"/>
      <c r="L17" s="5"/>
      <c r="M17" s="17" t="s">
        <v>16</v>
      </c>
      <c r="N17" s="64">
        <f>N16*0.0625</f>
        <v>0</v>
      </c>
    </row>
    <row r="18" spans="2:14" ht="24.75" customHeight="1" thickBot="1" x14ac:dyDescent="0.3">
      <c r="B18" s="10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26" t="s">
        <v>17</v>
      </c>
      <c r="N18" s="64">
        <f>SUM(N16,N17)</f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>
                  <from>
                    <xdr:col>14</xdr:col>
                    <xdr:colOff>200025</xdr:colOff>
                    <xdr:row>1</xdr:row>
                    <xdr:rowOff>85725</xdr:rowOff>
                  </from>
                  <to>
                    <xdr:col>17</xdr:col>
                    <xdr:colOff>133350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5"/>
  <sheetViews>
    <sheetView topLeftCell="A3" workbookViewId="0">
      <selection activeCell="B25" sqref="A25:B27"/>
    </sheetView>
  </sheetViews>
  <sheetFormatPr defaultRowHeight="15" x14ac:dyDescent="0.25"/>
  <cols>
    <col min="1" max="1" width="22.140625" bestFit="1" customWidth="1"/>
    <col min="2" max="2" width="10.140625" bestFit="1" customWidth="1"/>
    <col min="3" max="3" width="17.42578125" bestFit="1" customWidth="1"/>
    <col min="4" max="4" width="11" bestFit="1" customWidth="1"/>
    <col min="5" max="5" width="15.5703125" bestFit="1" customWidth="1"/>
    <col min="6" max="6" width="9" bestFit="1" customWidth="1"/>
  </cols>
  <sheetData>
    <row r="1" spans="1:6" ht="15.75" thickBot="1" x14ac:dyDescent="0.3"/>
    <row r="2" spans="1:6" ht="29.25" customHeight="1" x14ac:dyDescent="0.25">
      <c r="A2" s="37" t="s">
        <v>19</v>
      </c>
      <c r="B2" s="38">
        <v>0.8</v>
      </c>
      <c r="C2" s="39"/>
      <c r="D2" s="39"/>
    </row>
    <row r="3" spans="1:6" ht="30.75" thickBot="1" x14ac:dyDescent="0.3">
      <c r="A3" s="40" t="s">
        <v>20</v>
      </c>
      <c r="B3" s="41">
        <v>0.6</v>
      </c>
      <c r="C3" s="39"/>
      <c r="D3" s="39"/>
    </row>
    <row r="4" spans="1:6" ht="15.75" thickBot="1" x14ac:dyDescent="0.3"/>
    <row r="5" spans="1:6" ht="15.75" thickBot="1" x14ac:dyDescent="0.3">
      <c r="A5" s="42" t="s">
        <v>21</v>
      </c>
      <c r="B5" s="43" t="s">
        <v>22</v>
      </c>
      <c r="C5" s="44" t="s">
        <v>23</v>
      </c>
      <c r="D5" s="44" t="s">
        <v>24</v>
      </c>
      <c r="E5" s="44" t="s">
        <v>25</v>
      </c>
      <c r="F5" s="45" t="s">
        <v>26</v>
      </c>
    </row>
    <row r="6" spans="1:6" x14ac:dyDescent="0.25">
      <c r="A6" s="46" t="s">
        <v>27</v>
      </c>
      <c r="B6" s="27" t="s">
        <v>28</v>
      </c>
      <c r="C6" s="47" t="s">
        <v>29</v>
      </c>
      <c r="D6" s="48">
        <v>4.99</v>
      </c>
      <c r="E6" s="48">
        <f t="shared" ref="E6:E25" si="0">D6*$B$2</f>
        <v>3.9920000000000004</v>
      </c>
      <c r="F6" s="49">
        <f t="shared" ref="F6:F25" si="1">E6*$B$3</f>
        <v>2.3952</v>
      </c>
    </row>
    <row r="7" spans="1:6" x14ac:dyDescent="0.25">
      <c r="A7" s="50" t="s">
        <v>30</v>
      </c>
      <c r="B7" s="25" t="s">
        <v>31</v>
      </c>
      <c r="C7" s="51" t="s">
        <v>29</v>
      </c>
      <c r="D7" s="52">
        <v>9.99</v>
      </c>
      <c r="E7" s="52">
        <f t="shared" si="0"/>
        <v>7.9920000000000009</v>
      </c>
      <c r="F7" s="53">
        <f t="shared" si="1"/>
        <v>4.7952000000000004</v>
      </c>
    </row>
    <row r="8" spans="1:6" x14ac:dyDescent="0.25">
      <c r="A8" s="50" t="s">
        <v>32</v>
      </c>
      <c r="B8" s="25" t="s">
        <v>33</v>
      </c>
      <c r="C8" s="51" t="s">
        <v>29</v>
      </c>
      <c r="D8" s="52">
        <v>9.99</v>
      </c>
      <c r="E8" s="52">
        <f t="shared" si="0"/>
        <v>7.9920000000000009</v>
      </c>
      <c r="F8" s="53">
        <f t="shared" si="1"/>
        <v>4.7952000000000004</v>
      </c>
    </row>
    <row r="9" spans="1:6" x14ac:dyDescent="0.25">
      <c r="A9" s="50" t="s">
        <v>34</v>
      </c>
      <c r="B9" s="25" t="s">
        <v>35</v>
      </c>
      <c r="C9" s="51" t="s">
        <v>29</v>
      </c>
      <c r="D9" s="52">
        <v>19.989999999999998</v>
      </c>
      <c r="E9" s="52">
        <f t="shared" si="0"/>
        <v>15.991999999999999</v>
      </c>
      <c r="F9" s="53">
        <f t="shared" si="1"/>
        <v>9.5951999999999984</v>
      </c>
    </row>
    <row r="10" spans="1:6" x14ac:dyDescent="0.25">
      <c r="A10" s="50" t="s">
        <v>36</v>
      </c>
      <c r="B10" s="25" t="s">
        <v>37</v>
      </c>
      <c r="C10" s="51" t="s">
        <v>29</v>
      </c>
      <c r="D10" s="52">
        <v>39.99</v>
      </c>
      <c r="E10" s="52">
        <f t="shared" si="0"/>
        <v>31.992000000000004</v>
      </c>
      <c r="F10" s="53">
        <f t="shared" si="1"/>
        <v>19.195200000000003</v>
      </c>
    </row>
    <row r="11" spans="1:6" x14ac:dyDescent="0.25">
      <c r="A11" s="50" t="s">
        <v>38</v>
      </c>
      <c r="B11" s="25" t="s">
        <v>39</v>
      </c>
      <c r="C11" s="51" t="s">
        <v>29</v>
      </c>
      <c r="D11" s="52">
        <v>49.99</v>
      </c>
      <c r="E11" s="52">
        <f t="shared" si="0"/>
        <v>39.992000000000004</v>
      </c>
      <c r="F11" s="53">
        <f t="shared" si="1"/>
        <v>23.995200000000001</v>
      </c>
    </row>
    <row r="12" spans="1:6" x14ac:dyDescent="0.25">
      <c r="A12" s="50" t="s">
        <v>40</v>
      </c>
      <c r="B12" s="25" t="s">
        <v>41</v>
      </c>
      <c r="C12" s="51" t="s">
        <v>29</v>
      </c>
      <c r="D12" s="52">
        <v>69.989999999999995</v>
      </c>
      <c r="E12" s="52">
        <f t="shared" si="0"/>
        <v>55.991999999999997</v>
      </c>
      <c r="F12" s="53">
        <f t="shared" si="1"/>
        <v>33.595199999999998</v>
      </c>
    </row>
    <row r="13" spans="1:6" x14ac:dyDescent="0.25">
      <c r="A13" s="50" t="s">
        <v>42</v>
      </c>
      <c r="B13" s="25" t="s">
        <v>43</v>
      </c>
      <c r="C13" s="51" t="s">
        <v>29</v>
      </c>
      <c r="D13" s="52">
        <v>119.99</v>
      </c>
      <c r="E13" s="52">
        <f t="shared" si="0"/>
        <v>95.992000000000004</v>
      </c>
      <c r="F13" s="53">
        <f t="shared" si="1"/>
        <v>57.595199999999998</v>
      </c>
    </row>
    <row r="14" spans="1:6" x14ac:dyDescent="0.25">
      <c r="A14" s="50" t="s">
        <v>44</v>
      </c>
      <c r="B14" s="25" t="s">
        <v>45</v>
      </c>
      <c r="C14" s="51" t="s">
        <v>29</v>
      </c>
      <c r="D14" s="52">
        <v>149.99</v>
      </c>
      <c r="E14" s="52">
        <f t="shared" si="0"/>
        <v>119.99200000000002</v>
      </c>
      <c r="F14" s="53">
        <f t="shared" si="1"/>
        <v>71.995200000000011</v>
      </c>
    </row>
    <row r="15" spans="1:6" x14ac:dyDescent="0.25">
      <c r="A15" s="50" t="s">
        <v>46</v>
      </c>
      <c r="B15" s="25" t="s">
        <v>47</v>
      </c>
      <c r="C15" s="51" t="s">
        <v>29</v>
      </c>
      <c r="D15" s="52">
        <v>199.99</v>
      </c>
      <c r="E15" s="52">
        <f t="shared" si="0"/>
        <v>159.99200000000002</v>
      </c>
      <c r="F15" s="53">
        <f t="shared" si="1"/>
        <v>95.995200000000011</v>
      </c>
    </row>
    <row r="16" spans="1:6" x14ac:dyDescent="0.25">
      <c r="A16" s="50" t="s">
        <v>48</v>
      </c>
      <c r="B16" s="25" t="s">
        <v>49</v>
      </c>
      <c r="C16" s="54" t="s">
        <v>50</v>
      </c>
      <c r="D16" s="52">
        <v>4.99</v>
      </c>
      <c r="E16" s="52">
        <f t="shared" si="0"/>
        <v>3.9920000000000004</v>
      </c>
      <c r="F16" s="53">
        <f t="shared" si="1"/>
        <v>2.3952</v>
      </c>
    </row>
    <row r="17" spans="1:6" x14ac:dyDescent="0.25">
      <c r="A17" s="50" t="s">
        <v>51</v>
      </c>
      <c r="B17" s="25" t="s">
        <v>52</v>
      </c>
      <c r="C17" s="54" t="s">
        <v>50</v>
      </c>
      <c r="D17" s="52">
        <v>9.99</v>
      </c>
      <c r="E17" s="52">
        <f t="shared" si="0"/>
        <v>7.9920000000000009</v>
      </c>
      <c r="F17" s="53">
        <f t="shared" si="1"/>
        <v>4.7952000000000004</v>
      </c>
    </row>
    <row r="18" spans="1:6" x14ac:dyDescent="0.25">
      <c r="A18" s="50" t="s">
        <v>53</v>
      </c>
      <c r="B18" s="25" t="s">
        <v>54</v>
      </c>
      <c r="C18" s="54" t="s">
        <v>50</v>
      </c>
      <c r="D18" s="52">
        <v>9.99</v>
      </c>
      <c r="E18" s="52">
        <f t="shared" si="0"/>
        <v>7.9920000000000009</v>
      </c>
      <c r="F18" s="53">
        <f t="shared" si="1"/>
        <v>4.7952000000000004</v>
      </c>
    </row>
    <row r="19" spans="1:6" x14ac:dyDescent="0.25">
      <c r="A19" s="50" t="s">
        <v>55</v>
      </c>
      <c r="B19" s="25" t="s">
        <v>56</v>
      </c>
      <c r="C19" s="54" t="s">
        <v>50</v>
      </c>
      <c r="D19" s="52">
        <v>29.99</v>
      </c>
      <c r="E19" s="52">
        <f t="shared" si="0"/>
        <v>23.992000000000001</v>
      </c>
      <c r="F19" s="53">
        <f t="shared" si="1"/>
        <v>14.395199999999999</v>
      </c>
    </row>
    <row r="20" spans="1:6" x14ac:dyDescent="0.25">
      <c r="A20" s="50" t="s">
        <v>57</v>
      </c>
      <c r="B20" s="25" t="s">
        <v>58</v>
      </c>
      <c r="C20" s="54" t="s">
        <v>50</v>
      </c>
      <c r="D20" s="52">
        <v>299.99</v>
      </c>
      <c r="E20" s="52">
        <f t="shared" si="0"/>
        <v>239.99200000000002</v>
      </c>
      <c r="F20" s="53">
        <f t="shared" si="1"/>
        <v>143.99520000000001</v>
      </c>
    </row>
    <row r="21" spans="1:6" x14ac:dyDescent="0.25">
      <c r="A21" s="50" t="s">
        <v>59</v>
      </c>
      <c r="B21" s="25" t="s">
        <v>60</v>
      </c>
      <c r="C21" s="55" t="s">
        <v>61</v>
      </c>
      <c r="D21" s="52">
        <v>7.99</v>
      </c>
      <c r="E21" s="52">
        <f t="shared" si="0"/>
        <v>6.3920000000000003</v>
      </c>
      <c r="F21" s="53">
        <f t="shared" si="1"/>
        <v>3.8351999999999999</v>
      </c>
    </row>
    <row r="22" spans="1:6" x14ac:dyDescent="0.25">
      <c r="A22" s="50" t="s">
        <v>62</v>
      </c>
      <c r="B22" s="25" t="s">
        <v>63</v>
      </c>
      <c r="C22" s="55" t="s">
        <v>61</v>
      </c>
      <c r="D22" s="52">
        <v>9.99</v>
      </c>
      <c r="E22" s="52">
        <f t="shared" si="0"/>
        <v>7.9920000000000009</v>
      </c>
      <c r="F22" s="53">
        <f t="shared" si="1"/>
        <v>4.7952000000000004</v>
      </c>
    </row>
    <row r="23" spans="1:6" x14ac:dyDescent="0.25">
      <c r="A23" s="50" t="s">
        <v>64</v>
      </c>
      <c r="B23" s="25" t="s">
        <v>65</v>
      </c>
      <c r="C23" s="55" t="s">
        <v>61</v>
      </c>
      <c r="D23" s="52">
        <v>19.989999999999998</v>
      </c>
      <c r="E23" s="52">
        <f t="shared" si="0"/>
        <v>15.991999999999999</v>
      </c>
      <c r="F23" s="53">
        <f t="shared" si="1"/>
        <v>9.5951999999999984</v>
      </c>
    </row>
    <row r="24" spans="1:6" x14ac:dyDescent="0.25">
      <c r="A24" s="50" t="s">
        <v>66</v>
      </c>
      <c r="B24" s="25" t="s">
        <v>67</v>
      </c>
      <c r="C24" s="55" t="s">
        <v>61</v>
      </c>
      <c r="D24" s="52">
        <v>49.99</v>
      </c>
      <c r="E24" s="52">
        <f t="shared" si="0"/>
        <v>39.992000000000004</v>
      </c>
      <c r="F24" s="53">
        <f t="shared" si="1"/>
        <v>23.995200000000001</v>
      </c>
    </row>
    <row r="25" spans="1:6" ht="15.75" thickBot="1" x14ac:dyDescent="0.3">
      <c r="A25" s="56" t="s">
        <v>68</v>
      </c>
      <c r="B25" s="57" t="s">
        <v>69</v>
      </c>
      <c r="C25" s="58" t="s">
        <v>61</v>
      </c>
      <c r="D25" s="59">
        <v>99.99</v>
      </c>
      <c r="E25" s="59">
        <f t="shared" si="0"/>
        <v>79.992000000000004</v>
      </c>
      <c r="F25" s="60">
        <f t="shared" si="1"/>
        <v>47.995200000000004</v>
      </c>
    </row>
  </sheetData>
  <autoFilter ref="A5:F25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Purchase Order</vt:lpstr>
      <vt:lpstr>Product List</vt:lpstr>
      <vt:lpstr>LineItemTotal</vt:lpstr>
      <vt:lpstr>POdate</vt:lpstr>
      <vt:lpstr>POnumber</vt:lpstr>
      <vt:lpstr>ProductListing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chirag</dc:creator>
  <cp:lastModifiedBy>chirag</cp:lastModifiedBy>
  <dcterms:created xsi:type="dcterms:W3CDTF">2020-05-25T07:29:29Z</dcterms:created>
  <dcterms:modified xsi:type="dcterms:W3CDTF">2020-05-26T15:26:14Z</dcterms:modified>
</cp:coreProperties>
</file>